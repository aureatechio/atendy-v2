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Usuarios" sheetId="2" state="visible" r:id="rId2"/>
    <sheet name="Notas" sheetId="3" state="visible" r:id="rId3"/>
  </sheets>
  <definedNames>
    <definedName name="_xlnm._FilterDatabase" localSheetId="1" hidden="1">'Usuarios'!$A$1:$D$72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Distribuição de roles — atendy-v2 (producaoAceleraiAurea)</t>
        </is>
      </c>
    </row>
    <row r="3">
      <c r="A3" s="2" t="inlineStr">
        <is>
          <t>Role</t>
        </is>
      </c>
      <c r="B3" s="2" t="inlineStr">
        <is>
          <t>Active</t>
        </is>
      </c>
      <c r="C3" s="2" t="inlineStr">
        <is>
          <t>Blocked</t>
        </is>
      </c>
      <c r="D3" s="2" t="inlineStr">
        <is>
          <t>Inativo</t>
        </is>
      </c>
      <c r="E3" s="2" t="inlineStr">
        <is>
          <t>Pending</t>
        </is>
      </c>
      <c r="F3" s="2" t="inlineStr">
        <is>
          <t>Total</t>
        </is>
      </c>
    </row>
    <row r="4">
      <c r="A4" s="3" t="inlineStr">
        <is>
          <t>admin</t>
        </is>
      </c>
      <c r="B4" s="4">
        <f>COUNTIFS(Usuarios!$A$2:$A$72,$A4,Usuarios!$D$2:$D$72,B$3)</f>
        <v/>
      </c>
      <c r="C4" s="4">
        <f>COUNTIFS(Usuarios!$A$2:$A$72,$A4,Usuarios!$D$2:$D$72,C$3)</f>
        <v/>
      </c>
      <c r="D4" s="4">
        <f>COUNTIFS(Usuarios!$A$2:$A$72,$A4,Usuarios!$D$2:$D$72,D$3)</f>
        <v/>
      </c>
      <c r="E4" s="4">
        <f>COUNTIFS(Usuarios!$A$2:$A$72,$A4,Usuarios!$D$2:$D$72,E$3)</f>
        <v/>
      </c>
      <c r="F4" s="5">
        <f>SUM(B4:E4)</f>
        <v/>
      </c>
    </row>
    <row r="5">
      <c r="A5" s="3" t="inlineStr">
        <is>
          <t>supervisor</t>
        </is>
      </c>
      <c r="B5" s="4">
        <f>COUNTIFS(Usuarios!$A$2:$A$72,$A5,Usuarios!$D$2:$D$72,B$3)</f>
        <v/>
      </c>
      <c r="C5" s="4">
        <f>COUNTIFS(Usuarios!$A$2:$A$72,$A5,Usuarios!$D$2:$D$72,C$3)</f>
        <v/>
      </c>
      <c r="D5" s="4">
        <f>COUNTIFS(Usuarios!$A$2:$A$72,$A5,Usuarios!$D$2:$D$72,D$3)</f>
        <v/>
      </c>
      <c r="E5" s="4">
        <f>COUNTIFS(Usuarios!$A$2:$A$72,$A5,Usuarios!$D$2:$D$72,E$3)</f>
        <v/>
      </c>
      <c r="F5" s="5">
        <f>SUM(B5:E5)</f>
        <v/>
      </c>
    </row>
    <row r="6">
      <c r="A6" s="3" t="inlineStr">
        <is>
          <t>producao</t>
        </is>
      </c>
      <c r="B6" s="4">
        <f>COUNTIFS(Usuarios!$A$2:$A$72,$A6,Usuarios!$D$2:$D$72,B$3)</f>
        <v/>
      </c>
      <c r="C6" s="4">
        <f>COUNTIFS(Usuarios!$A$2:$A$72,$A6,Usuarios!$D$2:$D$72,C$3)</f>
        <v/>
      </c>
      <c r="D6" s="4">
        <f>COUNTIFS(Usuarios!$A$2:$A$72,$A6,Usuarios!$D$2:$D$72,D$3)</f>
        <v/>
      </c>
      <c r="E6" s="4">
        <f>COUNTIFS(Usuarios!$A$2:$A$72,$A6,Usuarios!$D$2:$D$72,E$3)</f>
        <v/>
      </c>
      <c r="F6" s="5">
        <f>SUM(B6:E6)</f>
        <v/>
      </c>
    </row>
    <row r="7">
      <c r="A7" s="3" t="inlineStr">
        <is>
          <t>cs_head</t>
        </is>
      </c>
      <c r="B7" s="4">
        <f>COUNTIFS(Usuarios!$A$2:$A$72,$A7,Usuarios!$D$2:$D$72,B$3)</f>
        <v/>
      </c>
      <c r="C7" s="4">
        <f>COUNTIFS(Usuarios!$A$2:$A$72,$A7,Usuarios!$D$2:$D$72,C$3)</f>
        <v/>
      </c>
      <c r="D7" s="4">
        <f>COUNTIFS(Usuarios!$A$2:$A$72,$A7,Usuarios!$D$2:$D$72,D$3)</f>
        <v/>
      </c>
      <c r="E7" s="4">
        <f>COUNTIFS(Usuarios!$A$2:$A$72,$A7,Usuarios!$D$2:$D$72,E$3)</f>
        <v/>
      </c>
      <c r="F7" s="5">
        <f>SUM(B7:E7)</f>
        <v/>
      </c>
    </row>
    <row r="8">
      <c r="A8" s="3" t="inlineStr">
        <is>
          <t>attendant</t>
        </is>
      </c>
      <c r="B8" s="4">
        <f>COUNTIFS(Usuarios!$A$2:$A$72,$A8,Usuarios!$D$2:$D$72,B$3)</f>
        <v/>
      </c>
      <c r="C8" s="4">
        <f>COUNTIFS(Usuarios!$A$2:$A$72,$A8,Usuarios!$D$2:$D$72,C$3)</f>
        <v/>
      </c>
      <c r="D8" s="4">
        <f>COUNTIFS(Usuarios!$A$2:$A$72,$A8,Usuarios!$D$2:$D$72,D$3)</f>
        <v/>
      </c>
      <c r="E8" s="4">
        <f>COUNTIFS(Usuarios!$A$2:$A$72,$A8,Usuarios!$D$2:$D$72,E$3)</f>
        <v/>
      </c>
      <c r="F8" s="5">
        <f>SUM(B8:E8)</f>
        <v/>
      </c>
    </row>
    <row r="9">
      <c r="A9" s="3" t="inlineStr">
        <is>
          <t>dev</t>
        </is>
      </c>
      <c r="B9" s="4">
        <f>COUNTIFS(Usuarios!$A$2:$A$72,$A9,Usuarios!$D$2:$D$72,B$3)</f>
        <v/>
      </c>
      <c r="C9" s="4">
        <f>COUNTIFS(Usuarios!$A$2:$A$72,$A9,Usuarios!$D$2:$D$72,C$3)</f>
        <v/>
      </c>
      <c r="D9" s="4">
        <f>COUNTIFS(Usuarios!$A$2:$A$72,$A9,Usuarios!$D$2:$D$72,D$3)</f>
        <v/>
      </c>
      <c r="E9" s="4">
        <f>COUNTIFS(Usuarios!$A$2:$A$72,$A9,Usuarios!$D$2:$D$72,E$3)</f>
        <v/>
      </c>
      <c r="F9" s="5">
        <f>SUM(B9:E9)</f>
        <v/>
      </c>
    </row>
    <row r="10">
      <c r="A10" s="6" t="inlineStr">
        <is>
          <t>Total</t>
        </is>
      </c>
      <c r="B10" s="5">
        <f>SUM(B4:B9)</f>
        <v/>
      </c>
      <c r="C10" s="5">
        <f>SUM(C4:C9)</f>
        <v/>
      </c>
      <c r="D10" s="5">
        <f>SUM(D4:D9)</f>
        <v/>
      </c>
      <c r="E10" s="5">
        <f>SUM(E4:E9)</f>
        <v/>
      </c>
      <c r="F10" s="5">
        <f>SUM(F4:F9)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2" customWidth="1" min="3" max="3"/>
    <col width="12" customWidth="1" min="4" max="4"/>
  </cols>
  <sheetData>
    <row r="1">
      <c r="A1" s="2" t="inlineStr">
        <is>
          <t>Role</t>
        </is>
      </c>
      <c r="B1" s="2" t="inlineStr">
        <is>
          <t>Nome</t>
        </is>
      </c>
      <c r="C1" s="2" t="inlineStr">
        <is>
          <t>Email</t>
        </is>
      </c>
      <c r="D1" s="2" t="inlineStr">
        <is>
          <t>Status</t>
        </is>
      </c>
    </row>
    <row r="2">
      <c r="A2" s="4" t="inlineStr">
        <is>
          <t>admin</t>
        </is>
      </c>
      <c r="B2" s="7" t="inlineStr">
        <is>
          <t>Ailton Santos</t>
        </is>
      </c>
      <c r="C2" s="7" t="inlineStr">
        <is>
          <t>ailton_tim@yahoo.com.br</t>
        </is>
      </c>
      <c r="D2" s="4" t="inlineStr">
        <is>
          <t>active</t>
        </is>
      </c>
    </row>
    <row r="3">
      <c r="A3" s="4" t="inlineStr">
        <is>
          <t>admin</t>
        </is>
      </c>
      <c r="B3" s="7" t="inlineStr">
        <is>
          <t>Anderson</t>
        </is>
      </c>
      <c r="C3" s="7" t="inlineStr">
        <is>
          <t>andomingos87@gmail.com</t>
        </is>
      </c>
      <c r="D3" s="4" t="inlineStr">
        <is>
          <t>active</t>
        </is>
      </c>
    </row>
    <row r="4">
      <c r="A4" s="4" t="inlineStr">
        <is>
          <t>admin</t>
        </is>
      </c>
      <c r="B4" s="7" t="inlineStr">
        <is>
          <t>Arthur</t>
        </is>
      </c>
      <c r="C4" s="7" t="inlineStr">
        <is>
          <t>arthurcavallini28@gmail.com</t>
        </is>
      </c>
      <c r="D4" s="4" t="inlineStr">
        <is>
          <t>active</t>
        </is>
      </c>
    </row>
    <row r="5">
      <c r="A5" s="4" t="inlineStr">
        <is>
          <t>admin</t>
        </is>
      </c>
      <c r="B5" s="7" t="inlineStr">
        <is>
          <t>Erlanda Ruas</t>
        </is>
      </c>
      <c r="C5" s="7" t="inlineStr">
        <is>
          <t>erlandaruas@gmail.com</t>
        </is>
      </c>
      <c r="D5" s="4" t="inlineStr">
        <is>
          <t>active</t>
        </is>
      </c>
    </row>
    <row r="6">
      <c r="A6" s="4" t="inlineStr">
        <is>
          <t>admin</t>
        </is>
      </c>
      <c r="B6" s="7" t="inlineStr">
        <is>
          <t>Hemilly Kinupp</t>
        </is>
      </c>
      <c r="C6" s="7" t="inlineStr">
        <is>
          <t>hemilly.kinupp@acelerai.com.br</t>
        </is>
      </c>
      <c r="D6" s="4" t="inlineStr">
        <is>
          <t>active</t>
        </is>
      </c>
    </row>
    <row r="7">
      <c r="A7" s="4" t="inlineStr">
        <is>
          <t>admin</t>
        </is>
      </c>
      <c r="B7" s="7" t="inlineStr">
        <is>
          <t>Jennifer Gusmão</t>
        </is>
      </c>
      <c r="C7" s="7" t="inlineStr">
        <is>
          <t>jennifergusmao@aureatech.io</t>
        </is>
      </c>
      <c r="D7" s="4" t="inlineStr">
        <is>
          <t>active</t>
        </is>
      </c>
    </row>
    <row r="8">
      <c r="A8" s="4" t="inlineStr">
        <is>
          <t>admin</t>
        </is>
      </c>
      <c r="B8" s="7" t="inlineStr">
        <is>
          <t>João</t>
        </is>
      </c>
      <c r="C8" s="7" t="inlineStr">
        <is>
          <t>jvfagundes.fs@gmail.com</t>
        </is>
      </c>
      <c r="D8" s="4" t="inlineStr">
        <is>
          <t>active</t>
        </is>
      </c>
    </row>
    <row r="9">
      <c r="A9" s="4" t="inlineStr">
        <is>
          <t>admin</t>
        </is>
      </c>
      <c r="B9" s="7" t="inlineStr">
        <is>
          <t>João Vitor</t>
        </is>
      </c>
      <c r="C9" s="7" t="inlineStr">
        <is>
          <t>joaovitor@aureatech.io</t>
        </is>
      </c>
      <c r="D9" s="4" t="inlineStr">
        <is>
          <t>active</t>
        </is>
      </c>
    </row>
    <row r="10">
      <c r="A10" s="4" t="inlineStr">
        <is>
          <t>admin</t>
        </is>
      </c>
      <c r="B10" s="7" t="inlineStr">
        <is>
          <t>Juliana Oliveira</t>
        </is>
      </c>
      <c r="C10" s="7" t="inlineStr">
        <is>
          <t>juliana.oliveira@acelerai.com.br</t>
        </is>
      </c>
      <c r="D10" s="4" t="inlineStr">
        <is>
          <t>active</t>
        </is>
      </c>
    </row>
    <row r="11">
      <c r="A11" s="4" t="inlineStr">
        <is>
          <t>admin</t>
        </is>
      </c>
      <c r="B11" s="7" t="inlineStr">
        <is>
          <t>Ruas</t>
        </is>
      </c>
      <c r="C11" s="7" t="inlineStr">
        <is>
          <t>ruas@aureatech.io</t>
        </is>
      </c>
      <c r="D11" s="4" t="inlineStr">
        <is>
          <t>active</t>
        </is>
      </c>
    </row>
    <row r="12">
      <c r="A12" s="4" t="inlineStr">
        <is>
          <t>admin</t>
        </is>
      </c>
      <c r="B12" s="7" t="inlineStr">
        <is>
          <t>Aurélio Figueiredo</t>
        </is>
      </c>
      <c r="C12" s="7" t="inlineStr">
        <is>
          <t>aurelio.figueiredo@acelerai.com.br</t>
        </is>
      </c>
      <c r="D12" s="4" t="inlineStr">
        <is>
          <t>blocked</t>
        </is>
      </c>
    </row>
    <row r="13">
      <c r="A13" s="4" t="inlineStr">
        <is>
          <t>admin</t>
        </is>
      </c>
      <c r="B13" s="7" t="inlineStr">
        <is>
          <t>Juliana Oliveira</t>
        </is>
      </c>
      <c r="C13" s="7" t="inlineStr">
        <is>
          <t>juliana@aureatech.io</t>
        </is>
      </c>
      <c r="D13" s="4" t="inlineStr">
        <is>
          <t>blocked</t>
        </is>
      </c>
    </row>
    <row r="14">
      <c r="A14" s="8" t="inlineStr">
        <is>
          <t>admin</t>
        </is>
      </c>
      <c r="B14" s="9" t="inlineStr">
        <is>
          <t>Anderson Teste 10</t>
        </is>
      </c>
      <c r="C14" s="9" t="inlineStr">
        <is>
          <t>ander_teste10@andersondomingos.com.br</t>
        </is>
      </c>
      <c r="D14" s="8" t="inlineStr">
        <is>
          <t>inativo</t>
        </is>
      </c>
    </row>
    <row r="15">
      <c r="A15" s="8" t="inlineStr">
        <is>
          <t>admin</t>
        </is>
      </c>
      <c r="B15" s="9" t="inlineStr">
        <is>
          <t>Aurelio Figueiredo</t>
        </is>
      </c>
      <c r="C15" s="9" t="inlineStr">
        <is>
          <t>aureliofigueiredo@aureatech.io</t>
        </is>
      </c>
      <c r="D15" s="8" t="inlineStr">
        <is>
          <t>inativo</t>
        </is>
      </c>
    </row>
    <row r="16">
      <c r="A16" s="4" t="inlineStr">
        <is>
          <t>supervisor</t>
        </is>
      </c>
      <c r="B16" s="7" t="inlineStr">
        <is>
          <t>Alvaro</t>
        </is>
      </c>
      <c r="C16" s="7" t="inlineStr">
        <is>
          <t>alvaro@fuzzr.com.br</t>
        </is>
      </c>
      <c r="D16" s="4" t="inlineStr">
        <is>
          <t>active</t>
        </is>
      </c>
    </row>
    <row r="17">
      <c r="A17" s="4" t="inlineStr">
        <is>
          <t>supervisor</t>
        </is>
      </c>
      <c r="B17" s="7" t="inlineStr">
        <is>
          <t>Angelo Marcio</t>
        </is>
      </c>
      <c r="C17" s="7" t="inlineStr">
        <is>
          <t>angelomarcio@aureatech.io</t>
        </is>
      </c>
      <c r="D17" s="4" t="inlineStr">
        <is>
          <t>active</t>
        </is>
      </c>
    </row>
    <row r="18">
      <c r="A18" s="4" t="inlineStr">
        <is>
          <t>supervisor</t>
        </is>
      </c>
      <c r="B18" s="7" t="inlineStr">
        <is>
          <t>Celine</t>
        </is>
      </c>
      <c r="C18" s="7" t="inlineStr">
        <is>
          <t>celine@fuzzr.com.br</t>
        </is>
      </c>
      <c r="D18" s="4" t="inlineStr">
        <is>
          <t>active</t>
        </is>
      </c>
    </row>
    <row r="19">
      <c r="A19" s="4" t="inlineStr">
        <is>
          <t>supervisor</t>
        </is>
      </c>
      <c r="B19" s="7" t="inlineStr">
        <is>
          <t>Eduardo Tegami</t>
        </is>
      </c>
      <c r="C19" s="7" t="inlineStr">
        <is>
          <t>eduardo@fuzzr.com.br</t>
        </is>
      </c>
      <c r="D19" s="4" t="inlineStr">
        <is>
          <t>active</t>
        </is>
      </c>
    </row>
    <row r="20">
      <c r="A20" s="4" t="inlineStr">
        <is>
          <t>supervisor</t>
        </is>
      </c>
      <c r="B20" s="7" t="inlineStr">
        <is>
          <t>Gustavo Domingues</t>
        </is>
      </c>
      <c r="C20" s="7" t="inlineStr">
        <is>
          <t>gustavo.domingues@fuzzr.com.br</t>
        </is>
      </c>
      <c r="D20" s="4" t="inlineStr">
        <is>
          <t>active</t>
        </is>
      </c>
    </row>
    <row r="21">
      <c r="A21" s="4" t="inlineStr">
        <is>
          <t>supervisor</t>
        </is>
      </c>
      <c r="B21" s="7" t="inlineStr">
        <is>
          <t>Henrique</t>
        </is>
      </c>
      <c r="C21" s="7" t="inlineStr">
        <is>
          <t>henrique@fuzzr.com.br</t>
        </is>
      </c>
      <c r="D21" s="4" t="inlineStr">
        <is>
          <t>active</t>
        </is>
      </c>
    </row>
    <row r="22">
      <c r="A22" s="4" t="inlineStr">
        <is>
          <t>supervisor</t>
        </is>
      </c>
      <c r="B22" s="7" t="inlineStr">
        <is>
          <t>Isabela</t>
        </is>
      </c>
      <c r="C22" s="7" t="inlineStr">
        <is>
          <t>isabela@fuzzr.com.br</t>
        </is>
      </c>
      <c r="D22" s="4" t="inlineStr">
        <is>
          <t>active</t>
        </is>
      </c>
    </row>
    <row r="23">
      <c r="A23" s="4" t="inlineStr">
        <is>
          <t>supervisor</t>
        </is>
      </c>
      <c r="B23" s="7" t="inlineStr">
        <is>
          <t>Lucas</t>
        </is>
      </c>
      <c r="C23" s="7" t="inlineStr">
        <is>
          <t>lucas@fuzzr.com.br</t>
        </is>
      </c>
      <c r="D23" s="4" t="inlineStr">
        <is>
          <t>active</t>
        </is>
      </c>
    </row>
    <row r="24">
      <c r="A24" s="4" t="inlineStr">
        <is>
          <t>supervisor</t>
        </is>
      </c>
      <c r="B24" s="7" t="inlineStr">
        <is>
          <t>Raissa</t>
        </is>
      </c>
      <c r="C24" s="7" t="inlineStr">
        <is>
          <t>raissa@fuzzr.com.br</t>
        </is>
      </c>
      <c r="D24" s="4" t="inlineStr">
        <is>
          <t>active</t>
        </is>
      </c>
    </row>
    <row r="25">
      <c r="A25" s="4" t="inlineStr">
        <is>
          <t>supervisor</t>
        </is>
      </c>
      <c r="B25" s="7" t="inlineStr">
        <is>
          <t>Roberta Braga</t>
        </is>
      </c>
      <c r="C25" s="7" t="inlineStr">
        <is>
          <t>robertabraga@aureatech.io</t>
        </is>
      </c>
      <c r="D25" s="4" t="inlineStr">
        <is>
          <t>active</t>
        </is>
      </c>
    </row>
    <row r="26">
      <c r="A26" s="4" t="inlineStr">
        <is>
          <t>supervisor</t>
        </is>
      </c>
      <c r="B26" s="7" t="inlineStr">
        <is>
          <t>Vitor Machado</t>
        </is>
      </c>
      <c r="C26" s="7" t="inlineStr">
        <is>
          <t>vitor@fuzzr.com.br</t>
        </is>
      </c>
      <c r="D26" s="4" t="inlineStr">
        <is>
          <t>active</t>
        </is>
      </c>
    </row>
    <row r="27">
      <c r="A27" s="4" t="inlineStr">
        <is>
          <t>producao</t>
        </is>
      </c>
      <c r="B27" s="7" t="inlineStr">
        <is>
          <t>Aliny Mariano</t>
        </is>
      </c>
      <c r="C27" s="7" t="inlineStr">
        <is>
          <t>aliny.mariano@acelerai.com.br</t>
        </is>
      </c>
      <c r="D27" s="4" t="inlineStr">
        <is>
          <t>active</t>
        </is>
      </c>
    </row>
    <row r="28">
      <c r="A28" s="4" t="inlineStr">
        <is>
          <t>producao</t>
        </is>
      </c>
      <c r="B28" s="7" t="inlineStr">
        <is>
          <t>Ana Mel</t>
        </is>
      </c>
      <c r="C28" s="7" t="inlineStr">
        <is>
          <t>anamel@aureatech.io</t>
        </is>
      </c>
      <c r="D28" s="4" t="inlineStr">
        <is>
          <t>active</t>
        </is>
      </c>
    </row>
    <row r="29">
      <c r="A29" s="4" t="inlineStr">
        <is>
          <t>producao</t>
        </is>
      </c>
      <c r="B29" s="7" t="inlineStr">
        <is>
          <t>André Batistela</t>
        </is>
      </c>
      <c r="C29" s="7" t="inlineStr">
        <is>
          <t>andrebatistela@aureatech.io</t>
        </is>
      </c>
      <c r="D29" s="4" t="inlineStr">
        <is>
          <t>active</t>
        </is>
      </c>
    </row>
    <row r="30">
      <c r="A30" s="4" t="inlineStr">
        <is>
          <t>producao</t>
        </is>
      </c>
      <c r="B30" s="7" t="inlineStr">
        <is>
          <t>Cintia Araujo</t>
        </is>
      </c>
      <c r="C30" s="7" t="inlineStr">
        <is>
          <t>cintia.araujo@acelerai.com.br</t>
        </is>
      </c>
      <c r="D30" s="4" t="inlineStr">
        <is>
          <t>active</t>
        </is>
      </c>
    </row>
    <row r="31">
      <c r="A31" s="4" t="inlineStr">
        <is>
          <t>producao</t>
        </is>
      </c>
      <c r="B31" s="7" t="inlineStr">
        <is>
          <t>Daiane Honorio</t>
        </is>
      </c>
      <c r="C31" s="7" t="inlineStr">
        <is>
          <t>daiane.honorio@acelerai.com.br</t>
        </is>
      </c>
      <c r="D31" s="4" t="inlineStr">
        <is>
          <t>active</t>
        </is>
      </c>
    </row>
    <row r="32">
      <c r="A32" s="4" t="inlineStr">
        <is>
          <t>producao</t>
        </is>
      </c>
      <c r="B32" s="7" t="inlineStr">
        <is>
          <t>Dave Campelo</t>
        </is>
      </c>
      <c r="C32" s="7" t="inlineStr">
        <is>
          <t>dv.campelo@gmail.com</t>
        </is>
      </c>
      <c r="D32" s="4" t="inlineStr">
        <is>
          <t>active</t>
        </is>
      </c>
    </row>
    <row r="33">
      <c r="A33" s="4" t="inlineStr">
        <is>
          <t>producao</t>
        </is>
      </c>
      <c r="B33" s="7" t="inlineStr">
        <is>
          <t>Dhana Cardona</t>
        </is>
      </c>
      <c r="C33" s="7" t="inlineStr">
        <is>
          <t>dhana.cardona@acelerai.com.br</t>
        </is>
      </c>
      <c r="D33" s="4" t="inlineStr">
        <is>
          <t>active</t>
        </is>
      </c>
    </row>
    <row r="34">
      <c r="A34" s="4" t="inlineStr">
        <is>
          <t>producao</t>
        </is>
      </c>
      <c r="B34" s="7" t="inlineStr">
        <is>
          <t>Diego Gusmão</t>
        </is>
      </c>
      <c r="C34" s="7" t="inlineStr">
        <is>
          <t>diego.gusmao@acelerai.com.br</t>
        </is>
      </c>
      <c r="D34" s="4" t="inlineStr">
        <is>
          <t>active</t>
        </is>
      </c>
    </row>
    <row r="35">
      <c r="A35" s="4" t="inlineStr">
        <is>
          <t>producao</t>
        </is>
      </c>
      <c r="B35" s="7" t="inlineStr">
        <is>
          <t>Edgar Florentin</t>
        </is>
      </c>
      <c r="C35" s="7" t="inlineStr">
        <is>
          <t>holaflorentin@gmail.com</t>
        </is>
      </c>
      <c r="D35" s="4" t="inlineStr">
        <is>
          <t>active</t>
        </is>
      </c>
    </row>
    <row r="36">
      <c r="A36" s="4" t="inlineStr">
        <is>
          <t>producao</t>
        </is>
      </c>
      <c r="B36" s="7" t="inlineStr">
        <is>
          <t>Eduarda Jorente</t>
        </is>
      </c>
      <c r="C36" s="7" t="inlineStr">
        <is>
          <t>eduarda.jorente@acelerai.com.br</t>
        </is>
      </c>
      <c r="D36" s="4" t="inlineStr">
        <is>
          <t>active</t>
        </is>
      </c>
    </row>
    <row r="37">
      <c r="A37" s="4" t="inlineStr">
        <is>
          <t>producao</t>
        </is>
      </c>
      <c r="B37" s="7" t="inlineStr">
        <is>
          <t>Eduardo Almeida</t>
        </is>
      </c>
      <c r="C37" s="7" t="inlineStr">
        <is>
          <t>eduardocesaredicao@gmail.com</t>
        </is>
      </c>
      <c r="D37" s="4" t="inlineStr">
        <is>
          <t>active</t>
        </is>
      </c>
    </row>
    <row r="38">
      <c r="A38" s="4" t="inlineStr">
        <is>
          <t>producao</t>
        </is>
      </c>
      <c r="B38" s="7" t="inlineStr">
        <is>
          <t>Emily Soares</t>
        </is>
      </c>
      <c r="C38" s="7" t="inlineStr">
        <is>
          <t>emily.soares@acelerai.com.br</t>
        </is>
      </c>
      <c r="D38" s="4" t="inlineStr">
        <is>
          <t>active</t>
        </is>
      </c>
    </row>
    <row r="39">
      <c r="A39" s="4" t="inlineStr">
        <is>
          <t>producao</t>
        </is>
      </c>
      <c r="B39" s="7" t="inlineStr">
        <is>
          <t>Giovanna Moraes</t>
        </is>
      </c>
      <c r="C39" s="7" t="inlineStr">
        <is>
          <t>giovanna.moraes@acelerai.com.br</t>
        </is>
      </c>
      <c r="D39" s="4" t="inlineStr">
        <is>
          <t>active</t>
        </is>
      </c>
    </row>
    <row r="40">
      <c r="A40" s="4" t="inlineStr">
        <is>
          <t>producao</t>
        </is>
      </c>
      <c r="B40" s="7" t="inlineStr">
        <is>
          <t>Gustavo Bueno</t>
        </is>
      </c>
      <c r="C40" s="7" t="inlineStr">
        <is>
          <t>gustavo.gtr08@gmail.com</t>
        </is>
      </c>
      <c r="D40" s="4" t="inlineStr">
        <is>
          <t>active</t>
        </is>
      </c>
    </row>
    <row r="41">
      <c r="A41" s="4" t="inlineStr">
        <is>
          <t>producao</t>
        </is>
      </c>
      <c r="B41" s="7" t="inlineStr">
        <is>
          <t>Gustavo Medeiros</t>
        </is>
      </c>
      <c r="C41" s="7" t="inlineStr">
        <is>
          <t>gustavomedeiros@aureatech.io</t>
        </is>
      </c>
      <c r="D41" s="4" t="inlineStr">
        <is>
          <t>active</t>
        </is>
      </c>
    </row>
    <row r="42">
      <c r="A42" s="4" t="inlineStr">
        <is>
          <t>producao</t>
        </is>
      </c>
      <c r="B42" s="7" t="inlineStr">
        <is>
          <t>Gustavo Menezes</t>
        </is>
      </c>
      <c r="C42" s="7" t="inlineStr">
        <is>
          <t>gustavomenezes@aureatech.io</t>
        </is>
      </c>
      <c r="D42" s="4" t="inlineStr">
        <is>
          <t>active</t>
        </is>
      </c>
    </row>
    <row r="43">
      <c r="A43" s="4" t="inlineStr">
        <is>
          <t>producao</t>
        </is>
      </c>
      <c r="B43" s="7" t="inlineStr">
        <is>
          <t>Italo Florenco</t>
        </is>
      </c>
      <c r="C43" s="7" t="inlineStr">
        <is>
          <t>italoflorencoa@gmail.com</t>
        </is>
      </c>
      <c r="D43" s="4" t="inlineStr">
        <is>
          <t>active</t>
        </is>
      </c>
    </row>
    <row r="44">
      <c r="A44" s="4" t="inlineStr">
        <is>
          <t>producao</t>
        </is>
      </c>
      <c r="B44" s="7" t="inlineStr">
        <is>
          <t>Leon Pessoa</t>
        </is>
      </c>
      <c r="C44" s="7" t="inlineStr">
        <is>
          <t>leonpessoa@aureatech.io</t>
        </is>
      </c>
      <c r="D44" s="4" t="inlineStr">
        <is>
          <t>active</t>
        </is>
      </c>
    </row>
    <row r="45">
      <c r="A45" s="4" t="inlineStr">
        <is>
          <t>producao</t>
        </is>
      </c>
      <c r="B45" s="7" t="inlineStr">
        <is>
          <t>Maria Luiza Marques</t>
        </is>
      </c>
      <c r="C45" s="7" t="inlineStr">
        <is>
          <t>marialiuza.marques@acelerai.com.br</t>
        </is>
      </c>
      <c r="D45" s="4" t="inlineStr">
        <is>
          <t>active</t>
        </is>
      </c>
    </row>
    <row r="46">
      <c r="A46" s="4" t="inlineStr">
        <is>
          <t>producao</t>
        </is>
      </c>
      <c r="B46" s="7" t="inlineStr">
        <is>
          <t>Mathaws Queiroz</t>
        </is>
      </c>
      <c r="C46" s="7" t="inlineStr">
        <is>
          <t>mathawsqueiroz@gmail.com</t>
        </is>
      </c>
      <c r="D46" s="4" t="inlineStr">
        <is>
          <t>active</t>
        </is>
      </c>
    </row>
    <row r="47">
      <c r="A47" s="4" t="inlineStr">
        <is>
          <t>producao</t>
        </is>
      </c>
      <c r="B47" s="7" t="inlineStr">
        <is>
          <t>Matheus Tomaz</t>
        </is>
      </c>
      <c r="C47" s="7" t="inlineStr">
        <is>
          <t>mbtomaz26@gmail.com</t>
        </is>
      </c>
      <c r="D47" s="4" t="inlineStr">
        <is>
          <t>active</t>
        </is>
      </c>
    </row>
    <row r="48">
      <c r="A48" s="4" t="inlineStr">
        <is>
          <t>producao</t>
        </is>
      </c>
      <c r="B48" s="7" t="inlineStr">
        <is>
          <t>Melissa Costa</t>
        </is>
      </c>
      <c r="C48" s="7" t="inlineStr">
        <is>
          <t>melissa.costa@acelerai.com.br</t>
        </is>
      </c>
      <c r="D48" s="4" t="inlineStr">
        <is>
          <t>active</t>
        </is>
      </c>
    </row>
    <row r="49">
      <c r="A49" s="4" t="inlineStr">
        <is>
          <t>producao</t>
        </is>
      </c>
      <c r="B49" s="7" t="inlineStr">
        <is>
          <t>Rafael Campos</t>
        </is>
      </c>
      <c r="C49" s="7" t="inlineStr">
        <is>
          <t>rafa.vfx@gmail.com</t>
        </is>
      </c>
      <c r="D49" s="4" t="inlineStr">
        <is>
          <t>active</t>
        </is>
      </c>
    </row>
    <row r="50">
      <c r="A50" s="4" t="inlineStr">
        <is>
          <t>producao</t>
        </is>
      </c>
      <c r="B50" s="7" t="inlineStr">
        <is>
          <t>Saulo Rocha</t>
        </is>
      </c>
      <c r="C50" s="7" t="inlineStr">
        <is>
          <t>saulo.rocha@acelerai.com.br</t>
        </is>
      </c>
      <c r="D50" s="4" t="inlineStr">
        <is>
          <t>active</t>
        </is>
      </c>
    </row>
    <row r="51">
      <c r="A51" s="4" t="inlineStr">
        <is>
          <t>producao</t>
        </is>
      </c>
      <c r="B51" s="7" t="inlineStr">
        <is>
          <t>Yasmin Correia</t>
        </is>
      </c>
      <c r="C51" s="7" t="inlineStr">
        <is>
          <t>yasmin.correia@acelerai.com.br</t>
        </is>
      </c>
      <c r="D51" s="4" t="inlineStr">
        <is>
          <t>active</t>
        </is>
      </c>
    </row>
    <row r="52">
      <c r="A52" s="4" t="inlineStr">
        <is>
          <t>producao</t>
        </is>
      </c>
      <c r="B52" s="7" t="inlineStr">
        <is>
          <t>aaaa</t>
        </is>
      </c>
      <c r="C52" s="7" t="inlineStr">
        <is>
          <t>anderson@supervisor.com</t>
        </is>
      </c>
      <c r="D52" s="4" t="inlineStr">
        <is>
          <t>blocked</t>
        </is>
      </c>
    </row>
    <row r="53">
      <c r="A53" s="4" t="inlineStr">
        <is>
          <t>producao</t>
        </is>
      </c>
      <c r="B53" s="7" t="inlineStr">
        <is>
          <t>Bianca Ribeiro Torres</t>
        </is>
      </c>
      <c r="C53" s="7" t="inlineStr">
        <is>
          <t>bii.torres2000@gmail.com</t>
        </is>
      </c>
      <c r="D53" s="4" t="inlineStr">
        <is>
          <t>blocked</t>
        </is>
      </c>
    </row>
    <row r="54">
      <c r="A54" s="4" t="inlineStr">
        <is>
          <t>producao</t>
        </is>
      </c>
      <c r="B54" s="7" t="inlineStr">
        <is>
          <t>Bianca Torres</t>
        </is>
      </c>
      <c r="C54" s="7" t="inlineStr">
        <is>
          <t>bianca.torres@acelerai.com.br</t>
        </is>
      </c>
      <c r="D54" s="4" t="inlineStr">
        <is>
          <t>blocked</t>
        </is>
      </c>
    </row>
    <row r="55">
      <c r="A55" s="4" t="inlineStr">
        <is>
          <t>producao</t>
        </is>
      </c>
      <c r="B55" s="7" t="inlineStr">
        <is>
          <t>Christian Oliveira</t>
        </is>
      </c>
      <c r="C55" s="7" t="inlineStr">
        <is>
          <t>christianoliveira@aureatech.io</t>
        </is>
      </c>
      <c r="D55" s="4" t="inlineStr">
        <is>
          <t>blocked</t>
        </is>
      </c>
    </row>
    <row r="56">
      <c r="A56" s="4" t="inlineStr">
        <is>
          <t>producao</t>
        </is>
      </c>
      <c r="B56" s="7" t="inlineStr">
        <is>
          <t>Diego Oliveira Silva</t>
        </is>
      </c>
      <c r="C56" s="7" t="inlineStr">
        <is>
          <t>diego.oliveira@dioss.com.br</t>
        </is>
      </c>
      <c r="D56" s="4" t="inlineStr">
        <is>
          <t>blocked</t>
        </is>
      </c>
    </row>
    <row r="57">
      <c r="A57" s="4" t="inlineStr">
        <is>
          <t>producao</t>
        </is>
      </c>
      <c r="B57" s="7" t="inlineStr">
        <is>
          <t>Giovanna Moraes</t>
        </is>
      </c>
      <c r="C57" s="7" t="inlineStr">
        <is>
          <t>giovannamoraes@aureatech.io</t>
        </is>
      </c>
      <c r="D57" s="4" t="inlineStr">
        <is>
          <t>blocked</t>
        </is>
      </c>
    </row>
    <row r="58">
      <c r="A58" s="4" t="inlineStr">
        <is>
          <t>producao</t>
        </is>
      </c>
      <c r="B58" s="7" t="inlineStr">
        <is>
          <t>Larissa Matos</t>
        </is>
      </c>
      <c r="C58" s="7" t="inlineStr">
        <is>
          <t>larissamatos@aureatech.io</t>
        </is>
      </c>
      <c r="D58" s="4" t="inlineStr">
        <is>
          <t>blocked</t>
        </is>
      </c>
    </row>
    <row r="59">
      <c r="A59" s="4" t="inlineStr">
        <is>
          <t>producao</t>
        </is>
      </c>
      <c r="B59" s="7" t="inlineStr">
        <is>
          <t>Maria Eduarda Jorente</t>
        </is>
      </c>
      <c r="C59" s="7" t="inlineStr">
        <is>
          <t>eduardajorente@aureatech.io</t>
        </is>
      </c>
      <c r="D59" s="4" t="inlineStr">
        <is>
          <t>blocked</t>
        </is>
      </c>
    </row>
    <row r="60">
      <c r="A60" s="4" t="inlineStr">
        <is>
          <t>producao</t>
        </is>
      </c>
      <c r="B60" s="7" t="inlineStr">
        <is>
          <t>Maria Luiza Da Silva Marques</t>
        </is>
      </c>
      <c r="C60" s="7" t="inlineStr">
        <is>
          <t>marialuiza@aureatech.io</t>
        </is>
      </c>
      <c r="D60" s="4" t="inlineStr">
        <is>
          <t>blocked</t>
        </is>
      </c>
    </row>
    <row r="61">
      <c r="A61" s="4" t="inlineStr">
        <is>
          <t>producao</t>
        </is>
      </c>
      <c r="B61" s="7" t="inlineStr">
        <is>
          <t>Mathaws Queiroz</t>
        </is>
      </c>
      <c r="C61" s="7" t="inlineStr">
        <is>
          <t>mathawsqueiroz@gmail.com.br</t>
        </is>
      </c>
      <c r="D61" s="4" t="inlineStr">
        <is>
          <t>blocked</t>
        </is>
      </c>
    </row>
    <row r="62">
      <c r="A62" s="4" t="inlineStr">
        <is>
          <t>producao</t>
        </is>
      </c>
      <c r="B62" s="7" t="inlineStr">
        <is>
          <t>Micaela Nicácio</t>
        </is>
      </c>
      <c r="C62" s="7" t="inlineStr">
        <is>
          <t>micaelanicacio@aureatech.io</t>
        </is>
      </c>
      <c r="D62" s="4" t="inlineStr">
        <is>
          <t>blocked</t>
        </is>
      </c>
    </row>
    <row r="63">
      <c r="A63" s="4" t="inlineStr">
        <is>
          <t>producao</t>
        </is>
      </c>
      <c r="B63" s="7" t="inlineStr">
        <is>
          <t>Micaela Nicácio</t>
        </is>
      </c>
      <c r="C63" s="7" t="inlineStr">
        <is>
          <t>micaela.nicacio@acelerai.com.br</t>
        </is>
      </c>
      <c r="D63" s="4" t="inlineStr">
        <is>
          <t>blocked</t>
        </is>
      </c>
    </row>
    <row r="64">
      <c r="A64" s="4" t="inlineStr">
        <is>
          <t>producao</t>
        </is>
      </c>
      <c r="B64" s="7" t="inlineStr">
        <is>
          <t>Paulo Suassuna</t>
        </is>
      </c>
      <c r="C64" s="7" t="inlineStr">
        <is>
          <t>paulosuassunas@gmail.com</t>
        </is>
      </c>
      <c r="D64" s="4" t="inlineStr">
        <is>
          <t>blocked</t>
        </is>
      </c>
    </row>
    <row r="65">
      <c r="A65" s="4" t="inlineStr">
        <is>
          <t>producao</t>
        </is>
      </c>
      <c r="B65" s="7" t="inlineStr">
        <is>
          <t>Rafael Bighetti</t>
        </is>
      </c>
      <c r="C65" s="7" t="inlineStr">
        <is>
          <t>rafael.bighetti@gmail.com</t>
        </is>
      </c>
      <c r="D65" s="4" t="inlineStr">
        <is>
          <t>blocked</t>
        </is>
      </c>
    </row>
    <row r="66">
      <c r="A66" s="4" t="inlineStr">
        <is>
          <t>producao</t>
        </is>
      </c>
      <c r="B66" s="7" t="inlineStr">
        <is>
          <t>Rafael Campos</t>
        </is>
      </c>
      <c r="C66" s="7" t="inlineStr">
        <is>
          <t>rafaelcampos@aureatech.io</t>
        </is>
      </c>
      <c r="D66" s="4" t="inlineStr">
        <is>
          <t>blocked</t>
        </is>
      </c>
    </row>
    <row r="67">
      <c r="A67" s="4" t="inlineStr">
        <is>
          <t>producao</t>
        </is>
      </c>
      <c r="B67" s="7" t="inlineStr">
        <is>
          <t>Rafael Costa</t>
        </is>
      </c>
      <c r="C67" s="7" t="inlineStr">
        <is>
          <t>rafaelcosta261294@gmail.com</t>
        </is>
      </c>
      <c r="D67" s="4" t="inlineStr">
        <is>
          <t>blocked</t>
        </is>
      </c>
    </row>
    <row r="68">
      <c r="A68" s="4" t="inlineStr">
        <is>
          <t>producao</t>
        </is>
      </c>
      <c r="B68" s="7" t="inlineStr">
        <is>
          <t>Yasmin Correia</t>
        </is>
      </c>
      <c r="C68" s="7" t="inlineStr">
        <is>
          <t>yasmincorreia@aureatech.io</t>
        </is>
      </c>
      <c r="D68" s="4" t="inlineStr">
        <is>
          <t>blocked</t>
        </is>
      </c>
    </row>
    <row r="69">
      <c r="A69" s="4" t="inlineStr">
        <is>
          <t>producao</t>
        </is>
      </c>
      <c r="B69" s="7" t="inlineStr">
        <is>
          <t>Ítalo Florenço de Alcântara</t>
        </is>
      </c>
      <c r="C69" s="7" t="inlineStr">
        <is>
          <t>italoflorencoa@gmail.com.br</t>
        </is>
      </c>
      <c r="D69" s="4" t="inlineStr">
        <is>
          <t>blocked</t>
        </is>
      </c>
    </row>
    <row r="70">
      <c r="A70" s="8" t="inlineStr">
        <is>
          <t>producao</t>
        </is>
      </c>
      <c r="B70" s="9" t="inlineStr">
        <is>
          <t>Gabriel Alves</t>
        </is>
      </c>
      <c r="C70" s="9" t="inlineStr">
        <is>
          <t>gabriel.alves@aureatech.io</t>
        </is>
      </c>
      <c r="D70" s="8" t="inlineStr">
        <is>
          <t>inativo</t>
        </is>
      </c>
    </row>
    <row r="71">
      <c r="A71" s="8" t="inlineStr">
        <is>
          <t>producao</t>
        </is>
      </c>
      <c r="B71" s="9" t="inlineStr">
        <is>
          <t>Victor Herrera</t>
        </is>
      </c>
      <c r="C71" s="9" t="inlineStr">
        <is>
          <t>victorherrera@aureatech.io</t>
        </is>
      </c>
      <c r="D71" s="8" t="inlineStr">
        <is>
          <t>inativo</t>
        </is>
      </c>
    </row>
    <row r="72">
      <c r="A72" s="4" t="inlineStr">
        <is>
          <t>cs_head</t>
        </is>
      </c>
      <c r="B72" s="7" t="inlineStr">
        <is>
          <t>Luciana Lima</t>
        </is>
      </c>
      <c r="C72" s="7" t="inlineStr">
        <is>
          <t>luciana.lima@acelerai.com.br</t>
        </is>
      </c>
      <c r="D72" s="4" t="inlineStr">
        <is>
          <t>active</t>
        </is>
      </c>
    </row>
  </sheetData>
  <autoFilter ref="A1:D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Observações</t>
        </is>
      </c>
    </row>
    <row r="3">
      <c r="A3" s="10" t="inlineStr">
        <is>
          <t>• Schema TS define 6 roles: admin, supervisor, attendant, producao, cs_head, dev.</t>
        </is>
      </c>
    </row>
    <row r="4">
      <c r="A4" s="10" t="inlineStr">
        <is>
          <t>• Roles attendant e dev existem no enum mas têm zero usuários em produção.</t>
        </is>
      </c>
    </row>
    <row r="5">
      <c r="A5" s="10" t="inlineStr">
        <is>
          <t>• Status 'inativo' não existe no tipo UserStatus (pending | active | blocked) — 4 linhas legadas no banco (destacadas em amarelo na aba Usuarios).</t>
        </is>
      </c>
    </row>
    <row r="6">
      <c r="A6" s="10" t="inlineStr">
        <is>
          <t>• getAuthSnapshot() em lib/auth/get-auth-snapshot.ts classifica apenas blocked/pending — qualquer outro status, incluindo 'inativo', vira active indevidamente.</t>
        </is>
      </c>
    </row>
    <row r="7">
      <c r="A7" s="10" t="inlineStr">
        <is>
          <t>• Dados extraídos do projeto Supabase cfgeilnppnlyhwnabkox (producaoAceleraiAurea). Total: 71 perfis.</t>
        </is>
      </c>
    </row>
    <row r="8">
      <c r="A8" s="10" t="inlineStr">
        <is>
          <t>• Os contadores na aba Resumo são fórmulas COUNTIFS sobre a aba Usuarios — alterações lá se refletem no resumo.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2026-05-20T20:25:21Z</dcterms:created>
  <dcterms:modified xsi:type="dcterms:W3CDTF">2026-05-20T20:25:21Z</dcterms:modified>
</cp:coreProperties>
</file>